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Claude\Projects\matematic\"/>
    </mc:Choice>
  </mc:AlternateContent>
  <xr:revisionPtr revIDLastSave="0" documentId="13_ncr:1_{4F6E11DE-72CF-4BDB-AC7F-5E221C720E04}" xr6:coauthVersionLast="47" xr6:coauthVersionMax="47" xr10:uidLastSave="{00000000-0000-0000-0000-000000000000}"/>
  <bookViews>
    <workbookView xWindow="1950" yWindow="1950" windowWidth="21600" windowHeight="12645" tabRatio="500" xr2:uid="{00000000-000D-0000-FFFF-FFFF00000000}"/>
  </bookViews>
  <sheets>
    <sheet name="מודל עלות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1" l="1"/>
  <c r="C33" i="1"/>
  <c r="B33" i="1"/>
  <c r="C32" i="1"/>
  <c r="B32" i="1"/>
  <c r="C31" i="1"/>
  <c r="B31" i="1"/>
  <c r="B18" i="1"/>
  <c r="B34" i="1" s="1"/>
  <c r="B13" i="1"/>
  <c r="C35" i="1" s="1"/>
  <c r="B8" i="1"/>
  <c r="C34" i="1" l="1"/>
  <c r="C36" i="1" s="1"/>
  <c r="C39" i="1" s="1"/>
  <c r="C40" i="1" s="1"/>
  <c r="B35" i="1"/>
  <c r="B36" i="1" s="1"/>
  <c r="B39" i="1" s="1"/>
  <c r="B40" i="1" l="1"/>
  <c r="B41" i="1" s="1"/>
  <c r="B42" i="1" s="1"/>
  <c r="B50" i="1"/>
  <c r="B52" i="1" s="1"/>
  <c r="B54" i="1" s="1"/>
  <c r="B55" i="1" s="1"/>
  <c r="B56" i="1" s="1"/>
  <c r="B57" i="1" s="1"/>
  <c r="B58" i="1" s="1"/>
  <c r="B47" i="1"/>
  <c r="B45" i="1"/>
  <c r="C41" i="1"/>
  <c r="B46" i="1" l="1"/>
  <c r="C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4" authorId="0" shapeId="0" xr:uid="{00000000-0006-0000-0000-000001000000}">
      <text>
        <r>
          <rPr>
            <sz val="10"/>
            <rFont val="DejaVu Sans"/>
            <family val="2"/>
          </rPr>
          <t>הפרמטר עם ההשפעה הגדולה ביותר - תלוי בהקשר</t>
        </r>
        <r>
          <rPr>
            <sz val="10"/>
            <rFont val="Arial"/>
            <family val="2"/>
          </rPr>
          <t xml:space="preserve">/RAG </t>
        </r>
        <r>
          <rPr>
            <sz val="10"/>
            <rFont val="DejaVu Sans"/>
            <family val="2"/>
          </rPr>
          <t>והיסטוריה</t>
        </r>
      </text>
    </comment>
  </commentList>
</comments>
</file>

<file path=xl/sharedStrings.xml><?xml version="1.0" encoding="utf-8"?>
<sst xmlns="http://schemas.openxmlformats.org/spreadsheetml/2006/main" count="65" uniqueCount="63">
  <si>
    <t>מתמתיק — מודל עלות שימוש קולי (Voice Tutoring)</t>
  </si>
  <si>
    <t>תא כחול = הנחה הניתנת לעריכה · שחור = חישוב אוטומטי · מבוסס מחירי ספקים, יוני 2026</t>
  </si>
  <si>
    <t>① הנחות שימוש</t>
  </si>
  <si>
    <t>תלמידים פעילים</t>
  </si>
  <si>
    <t>שיחות בשבוע (לתלמיד)</t>
  </si>
  <si>
    <t>שבועות בחודש</t>
  </si>
  <si>
    <t>שיחות בחודש (לתלמיד)</t>
  </si>
  <si>
    <t>דקות לשיחה</t>
  </si>
  <si>
    <t>דקות דיבור תלמיד — STT</t>
  </si>
  <si>
    <t>דקות דיבור AI — TTS</t>
  </si>
  <si>
    <t>תווים לדקת דיבור (TTS)</t>
  </si>
  <si>
    <t>תווי TTS לשיחה</t>
  </si>
  <si>
    <t>טוקני LLM קלט לשיחה</t>
  </si>
  <si>
    <t>טוקני LLM פלט לשיחה</t>
  </si>
  <si>
    <t>% שיחות עם תמונה (Vision)</t>
  </si>
  <si>
    <t>טוקני תמונה (לתמונה)</t>
  </si>
  <si>
    <t>טוקני Vision ממוצע לשיחה</t>
  </si>
  <si>
    <t>② מחירי ספקים (USD)</t>
  </si>
  <si>
    <t>STT — $ לדקה</t>
  </si>
  <si>
    <t>gpt-4o-transcribe</t>
  </si>
  <si>
    <t>LLM קלט — $ ל-1M טוקן</t>
  </si>
  <si>
    <t>GPT-4o</t>
  </si>
  <si>
    <t>LLM פלט — $ ל-1M טוקן</t>
  </si>
  <si>
    <t>Vision — $ ל-1M טוקן קלט</t>
  </si>
  <si>
    <t>TTS OpenAI — $ ל-1,000 תווים</t>
  </si>
  <si>
    <t>tts-1 ($15/1M)</t>
  </si>
  <si>
    <t>TTS ElevenLabs — $ ל-1,000 תווים</t>
  </si>
  <si>
    <t>Business; עד 0.30 בנמוך</t>
  </si>
  <si>
    <t>תשתית + ניטור חודשי — $</t>
  </si>
  <si>
    <t>שער דולר -&gt; שקל</t>
  </si>
  <si>
    <t>עדכן לשער הנוכחי</t>
  </si>
  <si>
    <t>③ עלות לשיחה (USD)</t>
  </si>
  <si>
    <t>תרחיש OpenAI</t>
  </si>
  <si>
    <t>תרחיש ElevenLabs</t>
  </si>
  <si>
    <t>STT</t>
  </si>
  <si>
    <t>LLM קלט</t>
  </si>
  <si>
    <t>LLM פלט</t>
  </si>
  <si>
    <t>Vision</t>
  </si>
  <si>
    <t>TTS</t>
  </si>
  <si>
    <t>סה"כ לשיחה</t>
  </si>
  <si>
    <t>④ סיכום חודשי</t>
  </si>
  <si>
    <t>עלות לתלמיד / חודש — $</t>
  </si>
  <si>
    <t>עלות כוללת / חודש — $</t>
  </si>
  <si>
    <t>עלות כוללת / חודש — ₪</t>
  </si>
  <si>
    <t>עלות שנתית — ₪</t>
  </si>
  <si>
    <t>⑤ חיסכון: ElevenLabs -&gt; OpenAI</t>
  </si>
  <si>
    <t>חיסכון חודשי — $</t>
  </si>
  <si>
    <t>חיסכון חודשי — ₪</t>
  </si>
  <si>
    <t>חיסכון % מסך עלות הקול</t>
  </si>
  <si>
    <t>⑥ תמחור והצעה (תרחיש OpenAI)</t>
  </si>
  <si>
    <t>עלות משתנה לתלמיד / חודש — $</t>
  </si>
  <si>
    <t>תשתית לתלמיד / חודש — $</t>
  </si>
  <si>
    <t>עלות מלאה לתלמיד / חודש — $</t>
  </si>
  <si>
    <t>מרווח רצוי %</t>
  </si>
  <si>
    <t>מחיר מוצע לתלמיד / חודש — $</t>
  </si>
  <si>
    <t>מחיר מוצע לתלמיד / חודש — ₪</t>
  </si>
  <si>
    <t>הכנסה חודשית (כל התלמידים) — ₪</t>
  </si>
  <si>
    <t>רווח חודשי — ₪</t>
  </si>
  <si>
    <t>רווח שנתי — ₪</t>
  </si>
  <si>
    <t>הערות</t>
  </si>
  <si>
    <t>• חד-פעמי: העלאת ספר לקטלוג כ-50 ש"ח/ספר (חילוץ + אינדוקס pgvector) — לא נכלל בעלות החודשית.</t>
  </si>
  <si>
    <t>• הפרמטר הרגיש ביותר: טוקני LLM קלט לשיחה (B14). prompt caching יכול להוזיל כ-50% מהקלט הקבוע.</t>
  </si>
  <si>
    <t>• עלות הקול אינה ארכיטקטורה — TTS הוא adapter מתחלף. ניתן להציע OpenAI כברירת מחדל ו-ElevenLabs כשדרוג.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</si>
</sst>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\$#,##0.000"/>
    <numFmt numFmtId="167" formatCode="\$#,##0.00"/>
    <numFmt numFmtId="168" formatCode="\$#,##0"/>
    <numFmt numFmtId="169" formatCode="\₪#,##0"/>
    <numFmt numFmtId="170" formatCode="\₪#,##0.0"/>
  </numFmts>
  <fonts count="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75569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name val="DejaVu Sans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EFF6FF"/>
        <bgColor rgb="FFFFFFFF"/>
      </patternFill>
    </fill>
    <fill>
      <patternFill patternType="solid">
        <fgColor rgb="FFDBEAFE"/>
        <bgColor rgb="FFE2E8F0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0" xfId="0" applyFill="1"/>
    <xf numFmtId="166" fontId="4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170" fontId="3" fillId="4" borderId="1" xfId="0" applyNumberFormat="1" applyFont="1" applyFill="1" applyBorder="1" applyAlignment="1">
      <alignment horizontal="right" vertical="center"/>
    </xf>
    <xf numFmtId="169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rightToLeft="1" tabSelected="1" zoomScaleNormal="100" workbookViewId="0">
      <selection activeCell="D28" sqref="D28"/>
    </sheetView>
  </sheetViews>
  <sheetFormatPr defaultColWidth="8.7109375" defaultRowHeight="15"/>
  <cols>
    <col min="1" max="1" width="40" customWidth="1"/>
    <col min="2" max="3" width="16" customWidth="1"/>
    <col min="4" max="4" width="30" customWidth="1"/>
  </cols>
  <sheetData>
    <row r="1" spans="1:4" ht="25.5" customHeight="1">
      <c r="A1" s="5" t="s">
        <v>0</v>
      </c>
      <c r="B1" s="5"/>
      <c r="C1" s="5"/>
      <c r="D1" s="5"/>
    </row>
    <row r="2" spans="1:4">
      <c r="A2" s="4" t="s">
        <v>1</v>
      </c>
      <c r="B2" s="4"/>
      <c r="C2" s="4"/>
      <c r="D2" s="4"/>
    </row>
    <row r="4" spans="1:4">
      <c r="A4" s="3" t="s">
        <v>2</v>
      </c>
      <c r="B4" s="3"/>
      <c r="C4" s="3"/>
      <c r="D4" s="3"/>
    </row>
    <row r="5" spans="1:4">
      <c r="A5" s="6" t="s">
        <v>3</v>
      </c>
      <c r="B5" s="7">
        <v>1000</v>
      </c>
    </row>
    <row r="6" spans="1:4">
      <c r="A6" s="6" t="s">
        <v>4</v>
      </c>
      <c r="B6" s="7">
        <v>3</v>
      </c>
    </row>
    <row r="7" spans="1:4">
      <c r="A7" s="6" t="s">
        <v>5</v>
      </c>
      <c r="B7" s="8">
        <v>4.33</v>
      </c>
    </row>
    <row r="8" spans="1:4">
      <c r="A8" s="6" t="s">
        <v>6</v>
      </c>
      <c r="B8" s="9">
        <f>B6*B7</f>
        <v>12.99</v>
      </c>
    </row>
    <row r="9" spans="1:4">
      <c r="A9" s="6" t="s">
        <v>7</v>
      </c>
      <c r="B9" s="7">
        <v>30</v>
      </c>
    </row>
    <row r="10" spans="1:4">
      <c r="A10" s="6" t="s">
        <v>8</v>
      </c>
      <c r="B10" s="7">
        <v>10</v>
      </c>
    </row>
    <row r="11" spans="1:4">
      <c r="A11" s="6" t="s">
        <v>9</v>
      </c>
      <c r="B11" s="7">
        <v>11</v>
      </c>
    </row>
    <row r="12" spans="1:4">
      <c r="A12" s="6" t="s">
        <v>10</v>
      </c>
      <c r="B12" s="7">
        <v>850</v>
      </c>
    </row>
    <row r="13" spans="1:4">
      <c r="A13" s="6" t="s">
        <v>11</v>
      </c>
      <c r="B13" s="10">
        <f>B11*B12</f>
        <v>9350</v>
      </c>
    </row>
    <row r="14" spans="1:4">
      <c r="A14" s="6" t="s">
        <v>12</v>
      </c>
      <c r="B14" s="7">
        <v>70000</v>
      </c>
    </row>
    <row r="15" spans="1:4">
      <c r="A15" s="6" t="s">
        <v>13</v>
      </c>
      <c r="B15" s="7">
        <v>6000</v>
      </c>
    </row>
    <row r="16" spans="1:4">
      <c r="A16" s="6" t="s">
        <v>14</v>
      </c>
      <c r="B16" s="11">
        <v>0.5</v>
      </c>
    </row>
    <row r="17" spans="1:4">
      <c r="A17" s="6" t="s">
        <v>15</v>
      </c>
      <c r="B17" s="7">
        <v>1200</v>
      </c>
    </row>
    <row r="18" spans="1:4">
      <c r="A18" s="6" t="s">
        <v>16</v>
      </c>
      <c r="B18" s="10">
        <f>B16*B17</f>
        <v>600</v>
      </c>
    </row>
    <row r="20" spans="1:4">
      <c r="A20" s="2" t="s">
        <v>17</v>
      </c>
      <c r="B20" s="2"/>
      <c r="C20" s="2"/>
      <c r="D20" s="2"/>
    </row>
    <row r="21" spans="1:4">
      <c r="A21" s="6" t="s">
        <v>18</v>
      </c>
      <c r="B21" s="12">
        <v>6.0000000000000001E-3</v>
      </c>
      <c r="D21" s="13" t="s">
        <v>19</v>
      </c>
    </row>
    <row r="22" spans="1:4">
      <c r="A22" s="6" t="s">
        <v>20</v>
      </c>
      <c r="B22" s="14">
        <v>2.5</v>
      </c>
      <c r="D22" s="13" t="s">
        <v>21</v>
      </c>
    </row>
    <row r="23" spans="1:4">
      <c r="A23" s="6" t="s">
        <v>22</v>
      </c>
      <c r="B23" s="14">
        <v>10</v>
      </c>
    </row>
    <row r="24" spans="1:4">
      <c r="A24" s="6" t="s">
        <v>23</v>
      </c>
      <c r="B24" s="14">
        <v>8</v>
      </c>
    </row>
    <row r="25" spans="1:4">
      <c r="A25" s="6" t="s">
        <v>24</v>
      </c>
      <c r="B25" s="12">
        <v>1.4999999999999999E-2</v>
      </c>
      <c r="D25" s="13" t="s">
        <v>25</v>
      </c>
    </row>
    <row r="26" spans="1:4">
      <c r="A26" s="6" t="s">
        <v>26</v>
      </c>
      <c r="B26" s="12">
        <v>0.12</v>
      </c>
      <c r="D26" s="13" t="s">
        <v>27</v>
      </c>
    </row>
    <row r="27" spans="1:4">
      <c r="A27" s="6" t="s">
        <v>28</v>
      </c>
      <c r="B27" s="15">
        <v>500</v>
      </c>
    </row>
    <row r="28" spans="1:4">
      <c r="A28" s="6" t="s">
        <v>29</v>
      </c>
      <c r="B28" s="8">
        <v>2.81</v>
      </c>
      <c r="D28" s="13" t="s">
        <v>30</v>
      </c>
    </row>
    <row r="30" spans="1:4">
      <c r="A30" s="16" t="s">
        <v>31</v>
      </c>
      <c r="B30" s="17" t="s">
        <v>32</v>
      </c>
      <c r="C30" s="17" t="s">
        <v>33</v>
      </c>
      <c r="D30" s="18"/>
    </row>
    <row r="31" spans="1:4">
      <c r="A31" s="6" t="s">
        <v>34</v>
      </c>
      <c r="B31" s="19">
        <f>B10*B21</f>
        <v>0.06</v>
      </c>
      <c r="C31" s="19">
        <f>B10*B21</f>
        <v>0.06</v>
      </c>
    </row>
    <row r="32" spans="1:4">
      <c r="A32" s="6" t="s">
        <v>35</v>
      </c>
      <c r="B32" s="19">
        <f>B14/1000000*B22</f>
        <v>0.17500000000000002</v>
      </c>
      <c r="C32" s="19">
        <f>B14/1000000*B22</f>
        <v>0.17500000000000002</v>
      </c>
    </row>
    <row r="33" spans="1:4">
      <c r="A33" s="6" t="s">
        <v>36</v>
      </c>
      <c r="B33" s="19">
        <f>B15/1000000*B23</f>
        <v>0.06</v>
      </c>
      <c r="C33" s="19">
        <f>B15/1000000*B23</f>
        <v>0.06</v>
      </c>
    </row>
    <row r="34" spans="1:4">
      <c r="A34" s="6" t="s">
        <v>37</v>
      </c>
      <c r="B34" s="19">
        <f>B18/1000000*B24</f>
        <v>4.7999999999999996E-3</v>
      </c>
      <c r="C34" s="19">
        <f>B18/1000000*B24</f>
        <v>4.7999999999999996E-3</v>
      </c>
    </row>
    <row r="35" spans="1:4">
      <c r="A35" s="6" t="s">
        <v>38</v>
      </c>
      <c r="B35" s="19">
        <f>B13/1000*B25</f>
        <v>0.14024999999999999</v>
      </c>
      <c r="C35" s="19">
        <f>B13/1000*B26</f>
        <v>1.1219999999999999</v>
      </c>
    </row>
    <row r="36" spans="1:4">
      <c r="A36" s="20" t="s">
        <v>39</v>
      </c>
      <c r="B36" s="21">
        <f>SUM(B31:B35)</f>
        <v>0.44005000000000005</v>
      </c>
      <c r="C36" s="21">
        <f>SUM(C31:C35)</f>
        <v>1.4218</v>
      </c>
    </row>
    <row r="38" spans="1:4">
      <c r="A38" s="16" t="s">
        <v>40</v>
      </c>
      <c r="B38" s="17" t="s">
        <v>32</v>
      </c>
      <c r="C38" s="17" t="s">
        <v>33</v>
      </c>
      <c r="D38" s="18"/>
    </row>
    <row r="39" spans="1:4">
      <c r="A39" s="6" t="s">
        <v>41</v>
      </c>
      <c r="B39" s="19">
        <f>B36*B8</f>
        <v>5.7162495000000009</v>
      </c>
      <c r="C39" s="19">
        <f>C36*B8</f>
        <v>18.469182</v>
      </c>
    </row>
    <row r="40" spans="1:4">
      <c r="A40" s="6" t="s">
        <v>42</v>
      </c>
      <c r="B40" s="22">
        <f>B39*B5</f>
        <v>5716.2495000000008</v>
      </c>
      <c r="C40" s="22">
        <f>C39*B5</f>
        <v>18469.182000000001</v>
      </c>
    </row>
    <row r="41" spans="1:4">
      <c r="A41" s="6" t="s">
        <v>43</v>
      </c>
      <c r="B41" s="23">
        <f>B40*B28</f>
        <v>16062.661095000003</v>
      </c>
      <c r="C41" s="23">
        <f>C40*B28</f>
        <v>51898.401420000002</v>
      </c>
    </row>
    <row r="42" spans="1:4">
      <c r="A42" s="6" t="s">
        <v>44</v>
      </c>
      <c r="B42" s="23">
        <f>B41*12</f>
        <v>192751.93314000004</v>
      </c>
      <c r="C42" s="23">
        <f>C41*12</f>
        <v>622780.81703999999</v>
      </c>
    </row>
    <row r="44" spans="1:4">
      <c r="A44" s="2" t="s">
        <v>45</v>
      </c>
      <c r="B44" s="2"/>
      <c r="C44" s="2"/>
      <c r="D44" s="2"/>
    </row>
    <row r="45" spans="1:4">
      <c r="A45" s="6" t="s">
        <v>46</v>
      </c>
      <c r="B45" s="24">
        <f>C40-B40</f>
        <v>12752.932499999999</v>
      </c>
    </row>
    <row r="46" spans="1:4">
      <c r="A46" s="6" t="s">
        <v>47</v>
      </c>
      <c r="B46" s="25">
        <f>C41-B41</f>
        <v>35835.740324999999</v>
      </c>
    </row>
    <row r="47" spans="1:4">
      <c r="A47" s="6" t="s">
        <v>48</v>
      </c>
      <c r="B47" s="26">
        <f>(C40-B40)/C40</f>
        <v>0.69049796033197353</v>
      </c>
    </row>
    <row r="49" spans="1:4">
      <c r="A49" s="2" t="s">
        <v>49</v>
      </c>
      <c r="B49" s="2"/>
      <c r="C49" s="2"/>
      <c r="D49" s="2"/>
    </row>
    <row r="50" spans="1:4">
      <c r="A50" s="6" t="s">
        <v>50</v>
      </c>
      <c r="B50" s="19">
        <f>B39</f>
        <v>5.7162495000000009</v>
      </c>
    </row>
    <row r="51" spans="1:4">
      <c r="A51" s="6" t="s">
        <v>51</v>
      </c>
      <c r="B51" s="19">
        <f>B27/B5</f>
        <v>0.5</v>
      </c>
    </row>
    <row r="52" spans="1:4">
      <c r="A52" s="6" t="s">
        <v>52</v>
      </c>
      <c r="B52" s="27">
        <f>B50+B51</f>
        <v>6.2162495000000009</v>
      </c>
    </row>
    <row r="53" spans="1:4">
      <c r="A53" s="6" t="s">
        <v>53</v>
      </c>
      <c r="B53" s="11">
        <v>0.5</v>
      </c>
    </row>
    <row r="54" spans="1:4">
      <c r="A54" s="6" t="s">
        <v>54</v>
      </c>
      <c r="B54" s="28">
        <f>B52/(1-B53)</f>
        <v>12.432499000000002</v>
      </c>
    </row>
    <row r="55" spans="1:4">
      <c r="A55" s="6" t="s">
        <v>55</v>
      </c>
      <c r="B55" s="29">
        <f>B54*B28</f>
        <v>34.935322190000008</v>
      </c>
    </row>
    <row r="56" spans="1:4">
      <c r="A56" s="6" t="s">
        <v>56</v>
      </c>
      <c r="B56" s="23">
        <f>B55*B5</f>
        <v>34935.322190000006</v>
      </c>
    </row>
    <row r="57" spans="1:4">
      <c r="A57" s="6" t="s">
        <v>57</v>
      </c>
      <c r="B57" s="30">
        <f>B56-B41</f>
        <v>18872.661095000003</v>
      </c>
    </row>
    <row r="58" spans="1:4">
      <c r="A58" s="6" t="s">
        <v>58</v>
      </c>
      <c r="B58" s="30">
        <f>B57*12</f>
        <v>226471.93314000004</v>
      </c>
    </row>
    <row r="60" spans="1:4">
      <c r="A60" s="1" t="s">
        <v>59</v>
      </c>
      <c r="B60" s="1"/>
      <c r="C60" s="1"/>
      <c r="D60" s="1"/>
    </row>
    <row r="61" spans="1:4">
      <c r="A61" s="4" t="s">
        <v>60</v>
      </c>
      <c r="B61" s="4"/>
      <c r="C61" s="4"/>
      <c r="D61" s="4"/>
    </row>
    <row r="62" spans="1:4">
      <c r="A62" s="4" t="s">
        <v>61</v>
      </c>
      <c r="B62" s="4"/>
      <c r="C62" s="4"/>
      <c r="D62" s="4"/>
    </row>
    <row r="63" spans="1:4">
      <c r="A63" s="4" t="s">
        <v>62</v>
      </c>
      <c r="B63" s="4"/>
      <c r="C63" s="4"/>
      <c r="D63" s="4"/>
    </row>
  </sheetData>
  <mergeCells count="10">
    <mergeCell ref="A49:D49"/>
    <mergeCell ref="A60:D60"/>
    <mergeCell ref="A61:D61"/>
    <mergeCell ref="A62:D62"/>
    <mergeCell ref="A63:D63"/>
    <mergeCell ref="A1:D1"/>
    <mergeCell ref="A2:D2"/>
    <mergeCell ref="A4:D4"/>
    <mergeCell ref="A20:D20"/>
    <mergeCell ref="A44:D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מודל עלות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Biz Techoff</cp:lastModifiedBy>
  <cp:revision>0</cp:revision>
  <dcterms:created xsi:type="dcterms:W3CDTF">2026-06-01T05:45:24Z</dcterms:created>
  <dcterms:modified xsi:type="dcterms:W3CDTF">2026-06-01T06:17:40Z</dcterms:modified>
  <dc:language>en-US</dc:language>
</cp:coreProperties>
</file>